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ept-HTM\03 Manufacturing Engineering\Loctite issues\Loctite testen\"/>
    </mc:Choice>
  </mc:AlternateContent>
  <bookViews>
    <workbookView xWindow="0" yWindow="0" windowWidth="20490" windowHeight="715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7" i="1" l="1"/>
  <c r="I67" i="1" l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L51" i="1" l="1"/>
  <c r="L67" i="1"/>
  <c r="L59" i="1"/>
  <c r="L43" i="1"/>
  <c r="E17" i="1"/>
  <c r="K64" i="1" l="1"/>
  <c r="K56" i="1"/>
  <c r="K48" i="1"/>
  <c r="K40" i="1"/>
  <c r="K61" i="1"/>
  <c r="K53" i="1"/>
  <c r="K45" i="1"/>
  <c r="K37" i="1"/>
  <c r="K66" i="1"/>
  <c r="K58" i="1"/>
  <c r="K50" i="1"/>
  <c r="K42" i="1"/>
  <c r="K63" i="1"/>
  <c r="K55" i="1"/>
  <c r="K47" i="1"/>
  <c r="K39" i="1"/>
  <c r="K60" i="1"/>
  <c r="K52" i="1"/>
  <c r="K44" i="1"/>
  <c r="K36" i="1"/>
  <c r="K65" i="1"/>
  <c r="K57" i="1"/>
  <c r="K49" i="1"/>
  <c r="K41" i="1"/>
  <c r="K62" i="1"/>
  <c r="K54" i="1"/>
  <c r="K46" i="1"/>
  <c r="K38" i="1"/>
  <c r="K67" i="1"/>
  <c r="K59" i="1"/>
  <c r="K51" i="1"/>
  <c r="K43" i="1"/>
  <c r="K27" i="1"/>
  <c r="K35" i="1"/>
  <c r="K28" i="1"/>
  <c r="K21" i="1"/>
  <c r="K29" i="1"/>
  <c r="K23" i="1"/>
  <c r="K31" i="1"/>
  <c r="K24" i="1"/>
  <c r="K32" i="1"/>
  <c r="K25" i="1"/>
  <c r="K33" i="1"/>
  <c r="K26" i="1"/>
  <c r="K34" i="1"/>
  <c r="K20" i="1"/>
  <c r="K22" i="1"/>
  <c r="K30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L27" i="1" l="1"/>
  <c r="L35" i="1"/>
</calcChain>
</file>

<file path=xl/sharedStrings.xml><?xml version="1.0" encoding="utf-8"?>
<sst xmlns="http://schemas.openxmlformats.org/spreadsheetml/2006/main" count="266" uniqueCount="38">
  <si>
    <t>Testblocks 20 x 30 x 255 mm. 20 mm side has blind holes: M6 (2x), M8 (2x), M10 (2x) en M12 (2x).</t>
  </si>
  <si>
    <t>Bolts with Washer per Block: M6 x 10 (2x), M8 x 12 (2x), M10 x 16 (2x), M12 x 20 (2x).</t>
  </si>
  <si>
    <t>Tightening torques: M6: 10 Nm, M8: 16 Nm, M10: 33 Nm, M12: 56 Nm.</t>
  </si>
  <si>
    <t>Test Block</t>
  </si>
  <si>
    <t>Cleaning Block</t>
  </si>
  <si>
    <t>Cleaning Bolts</t>
  </si>
  <si>
    <t>Locking Agent</t>
  </si>
  <si>
    <t>Bolt- Tap</t>
  </si>
  <si>
    <t>Tightening torque
[Nm]</t>
  </si>
  <si>
    <t>Break loose torque 
[Nm]</t>
  </si>
  <si>
    <t>Difference
[Nm]</t>
  </si>
  <si>
    <t>% of Tightening torque</t>
  </si>
  <si>
    <t>Loctite Cured</t>
  </si>
  <si>
    <t xml:space="preserve">Curing time
[hr] 
</t>
  </si>
  <si>
    <t>Average % per testing block</t>
  </si>
  <si>
    <t>Average % of Tightening torque</t>
  </si>
  <si>
    <t>Loctite 7064 blown dry with compressed air</t>
  </si>
  <si>
    <t>M6 x 10</t>
  </si>
  <si>
    <t>M8 x 12</t>
  </si>
  <si>
    <t>M10 x 16</t>
  </si>
  <si>
    <t>M12 x 20</t>
  </si>
  <si>
    <t>Used cleaning agent: Loctite 7064</t>
  </si>
  <si>
    <t>Yes</t>
  </si>
  <si>
    <t>No</t>
  </si>
  <si>
    <t>Not fully cured</t>
  </si>
  <si>
    <t>Used Locking Agent: Loctite 2400</t>
  </si>
  <si>
    <t>Loctite bottles have been shaken before use</t>
  </si>
  <si>
    <t>Loctite 2400</t>
  </si>
  <si>
    <t>Curing time  hours</t>
  </si>
  <si>
    <t>Start test:</t>
  </si>
  <si>
    <t>Eind test:</t>
  </si>
  <si>
    <t xml:space="preserve">Strip Nieuw. Gereinigd 7064. </t>
  </si>
  <si>
    <t>Strip Nieuw Niet gereinigd</t>
  </si>
  <si>
    <t xml:space="preserve">Strip Gebruikt. Gereinigd 7064.  </t>
  </si>
  <si>
    <t xml:space="preserve">Strip Gebruikt. Niet gereinigd.  </t>
  </si>
  <si>
    <t>Strip Gebruikt. Niet gereinigd. Gaten getapt.</t>
  </si>
  <si>
    <t>Strip Gebruikt. Gereinigd 7064. Gaten getapt.</t>
  </si>
  <si>
    <t>Test 7 Loctite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</si>
</sst>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/mm/yy\ h:mm;@"/>
    <numFmt numFmtId="166" formatCode="[h]:mm:ss;@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64" fontId="0" fillId="0" borderId="11" xfId="0" applyNumberFormat="1" applyBorder="1"/>
    <xf numFmtId="9" fontId="0" fillId="0" borderId="11" xfId="1" applyFont="1" applyBorder="1"/>
    <xf numFmtId="0" fontId="0" fillId="0" borderId="13" xfId="0" applyBorder="1"/>
    <xf numFmtId="164" fontId="0" fillId="0" borderId="13" xfId="0" applyNumberFormat="1" applyBorder="1"/>
    <xf numFmtId="164" fontId="0" fillId="0" borderId="14" xfId="0" applyNumberFormat="1" applyBorder="1"/>
    <xf numFmtId="9" fontId="0" fillId="0" borderId="14" xfId="1" applyFont="1" applyBorder="1"/>
    <xf numFmtId="0" fontId="0" fillId="0" borderId="15" xfId="0" applyBorder="1"/>
    <xf numFmtId="164" fontId="0" fillId="0" borderId="15" xfId="0" applyNumberFormat="1" applyBorder="1"/>
    <xf numFmtId="164" fontId="0" fillId="0" borderId="16" xfId="0" applyNumberFormat="1" applyBorder="1"/>
    <xf numFmtId="9" fontId="0" fillId="0" borderId="16" xfId="1" applyFont="1" applyBorder="1"/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textRotation="90"/>
    </xf>
    <xf numFmtId="9" fontId="0" fillId="0" borderId="12" xfId="0" applyNumberFormat="1" applyFont="1" applyBorder="1" applyAlignment="1"/>
    <xf numFmtId="0" fontId="0" fillId="0" borderId="17" xfId="0" applyBorder="1"/>
    <xf numFmtId="0" fontId="0" fillId="0" borderId="18" xfId="0" applyBorder="1"/>
    <xf numFmtId="0" fontId="0" fillId="0" borderId="19" xfId="0" applyBorder="1"/>
    <xf numFmtId="165" fontId="0" fillId="0" borderId="0" xfId="0" applyNumberFormat="1"/>
    <xf numFmtId="166" fontId="0" fillId="0" borderId="0" xfId="0" applyNumberFormat="1"/>
    <xf numFmtId="166" fontId="0" fillId="0" borderId="6" xfId="0" applyNumberFormat="1" applyBorder="1"/>
    <xf numFmtId="166" fontId="0" fillId="0" borderId="16" xfId="0" applyNumberFormat="1" applyBorder="1"/>
    <xf numFmtId="0" fontId="0" fillId="0" borderId="4" xfId="0" applyBorder="1"/>
    <xf numFmtId="0" fontId="0" fillId="0" borderId="8" xfId="0" applyBorder="1"/>
    <xf numFmtId="0" fontId="0" fillId="0" borderId="20" xfId="0" applyBorder="1"/>
    <xf numFmtId="166" fontId="0" fillId="0" borderId="21" xfId="0" applyNumberFormat="1" applyBorder="1"/>
    <xf numFmtId="9" fontId="0" fillId="0" borderId="12" xfId="0" applyNumberFormat="1" applyBorder="1"/>
    <xf numFmtId="0" fontId="5" fillId="0" borderId="4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6" fillId="0" borderId="4" xfId="0" applyFont="1" applyBorder="1" applyAlignment="1">
      <alignment horizontal="center" textRotation="90"/>
    </xf>
    <xf numFmtId="0" fontId="6" fillId="0" borderId="8" xfId="0" applyFont="1" applyBorder="1" applyAlignment="1">
      <alignment horizontal="center" textRotation="90"/>
    </xf>
  </cellXfs>
  <cellStyles count="2">
    <cellStyle name="Normal" xfId="0" builtinId="0"/>
    <cellStyle name="Percent" xfId="1" builtinId="5"/>
  </cellStyles>
  <dxfs count="57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A34" workbookViewId="0">
      <selection activeCell="B60" activeCellId="5" sqref="B20 B28 B36 B44 B52 B60"/>
    </sheetView>
  </sheetViews>
  <sheetFormatPr defaultRowHeight="12.75" x14ac:dyDescent="0.2"/>
  <cols>
    <col min="2" max="2" width="38.42578125" customWidth="1"/>
    <col min="3" max="3" width="37.5703125" bestFit="1" customWidth="1"/>
    <col min="4" max="4" width="18.85546875" bestFit="1" customWidth="1"/>
    <col min="8" max="8" width="8.42578125" bestFit="1" customWidth="1"/>
    <col min="9" max="9" width="10.7109375" customWidth="1"/>
    <col min="11" max="11" width="8.140625" bestFit="1" customWidth="1"/>
    <col min="13" max="13" width="10.28515625" customWidth="1"/>
    <col min="15" max="15" width="13.7109375" bestFit="1" customWidth="1"/>
    <col min="16" max="16" width="25.140625" bestFit="1" customWidth="1"/>
  </cols>
  <sheetData>
    <row r="1" spans="2:3" ht="20.25" x14ac:dyDescent="0.3">
      <c r="B1" s="1" t="s">
        <v>37</v>
      </c>
    </row>
    <row r="3" spans="2:3" x14ac:dyDescent="0.2">
      <c r="B3" t="s">
        <v>0</v>
      </c>
    </row>
    <row r="5" spans="2:3" x14ac:dyDescent="0.2">
      <c r="B5" t="s">
        <v>1</v>
      </c>
    </row>
    <row r="7" spans="2:3" x14ac:dyDescent="0.2">
      <c r="B7" t="s">
        <v>25</v>
      </c>
    </row>
    <row r="9" spans="2:3" x14ac:dyDescent="0.2">
      <c r="B9" t="s">
        <v>2</v>
      </c>
    </row>
    <row r="11" spans="2:3" x14ac:dyDescent="0.2">
      <c r="B11" t="s">
        <v>21</v>
      </c>
    </row>
    <row r="13" spans="2:3" x14ac:dyDescent="0.2">
      <c r="B13" t="s">
        <v>26</v>
      </c>
    </row>
    <row r="15" spans="2:3" x14ac:dyDescent="0.2">
      <c r="B15" t="s">
        <v>29</v>
      </c>
      <c r="C15" s="26">
        <v>44257.583333333336</v>
      </c>
    </row>
    <row r="16" spans="2:3" x14ac:dyDescent="0.2">
      <c r="C16" s="26"/>
    </row>
    <row r="17" spans="1:13" x14ac:dyDescent="0.2">
      <c r="B17" t="s">
        <v>30</v>
      </c>
      <c r="C17" s="26">
        <v>44260.395833333336</v>
      </c>
      <c r="D17" t="s">
        <v>28</v>
      </c>
      <c r="E17" s="27">
        <f>C17-C15</f>
        <v>2.8125</v>
      </c>
    </row>
    <row r="18" spans="1:13" ht="13.5" thickBot="1" x14ac:dyDescent="0.25"/>
    <row r="19" spans="1:13" ht="60.75" thickBot="1" x14ac:dyDescent="0.25">
      <c r="A19" s="2" t="s">
        <v>3</v>
      </c>
      <c r="B19" s="3" t="s">
        <v>4</v>
      </c>
      <c r="C19" s="3" t="s">
        <v>5</v>
      </c>
      <c r="D19" s="3" t="s">
        <v>6</v>
      </c>
      <c r="E19" s="3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5" t="s">
        <v>14</v>
      </c>
      <c r="M19" s="20" t="s">
        <v>15</v>
      </c>
    </row>
    <row r="20" spans="1:13" ht="12.75" customHeight="1" x14ac:dyDescent="0.2">
      <c r="A20" s="35">
        <v>1</v>
      </c>
      <c r="B20" t="s">
        <v>31</v>
      </c>
      <c r="C20" s="16" t="s">
        <v>16</v>
      </c>
      <c r="D20" s="16" t="s">
        <v>27</v>
      </c>
      <c r="E20" s="16" t="s">
        <v>17</v>
      </c>
      <c r="F20" s="16">
        <v>10</v>
      </c>
      <c r="G20" s="17">
        <v>8.1</v>
      </c>
      <c r="H20" s="18">
        <f t="shared" ref="H20:H35" si="0">G20-F20</f>
        <v>-1.9000000000000004</v>
      </c>
      <c r="I20" s="19">
        <f t="shared" ref="I20:I35" si="1">G20/F20</f>
        <v>0.80999999999999994</v>
      </c>
      <c r="J20" s="16" t="s">
        <v>22</v>
      </c>
      <c r="K20" s="29">
        <f>$E$17</f>
        <v>2.8125</v>
      </c>
      <c r="L20" s="30"/>
      <c r="M20" s="38"/>
    </row>
    <row r="21" spans="1:13" x14ac:dyDescent="0.2">
      <c r="A21" s="36"/>
      <c r="B21" s="7" t="s">
        <v>31</v>
      </c>
      <c r="C21" s="6" t="s">
        <v>16</v>
      </c>
      <c r="D21" s="8" t="s">
        <v>27</v>
      </c>
      <c r="E21" s="8" t="s">
        <v>17</v>
      </c>
      <c r="F21" s="8">
        <v>10</v>
      </c>
      <c r="G21" s="9">
        <v>9.5</v>
      </c>
      <c r="H21" s="10">
        <f t="shared" si="0"/>
        <v>-0.5</v>
      </c>
      <c r="I21" s="11">
        <f t="shared" si="1"/>
        <v>0.95</v>
      </c>
      <c r="J21" s="6" t="s">
        <v>22</v>
      </c>
      <c r="K21" s="28">
        <f t="shared" ref="K21:K67" si="2">$E$17</f>
        <v>2.8125</v>
      </c>
      <c r="L21" s="31"/>
      <c r="M21" s="39"/>
    </row>
    <row r="22" spans="1:13" x14ac:dyDescent="0.2">
      <c r="A22" s="36"/>
      <c r="B22" s="7" t="s">
        <v>31</v>
      </c>
      <c r="C22" s="6" t="s">
        <v>16</v>
      </c>
      <c r="D22" s="8" t="s">
        <v>27</v>
      </c>
      <c r="E22" s="8" t="s">
        <v>18</v>
      </c>
      <c r="F22" s="8">
        <v>16</v>
      </c>
      <c r="G22" s="9">
        <v>19.3</v>
      </c>
      <c r="H22" s="10">
        <f t="shared" si="0"/>
        <v>3.3000000000000007</v>
      </c>
      <c r="I22" s="11">
        <f t="shared" si="1"/>
        <v>1.20625</v>
      </c>
      <c r="J22" s="6" t="s">
        <v>22</v>
      </c>
      <c r="K22" s="28">
        <f t="shared" si="2"/>
        <v>2.8125</v>
      </c>
      <c r="L22" s="31"/>
      <c r="M22" s="39"/>
    </row>
    <row r="23" spans="1:13" x14ac:dyDescent="0.2">
      <c r="A23" s="36"/>
      <c r="B23" s="7" t="s">
        <v>31</v>
      </c>
      <c r="C23" s="6" t="s">
        <v>16</v>
      </c>
      <c r="D23" s="8" t="s">
        <v>27</v>
      </c>
      <c r="E23" s="8" t="s">
        <v>18</v>
      </c>
      <c r="F23" s="8">
        <v>16</v>
      </c>
      <c r="G23" s="9">
        <v>19.7</v>
      </c>
      <c r="H23" s="10">
        <f t="shared" si="0"/>
        <v>3.6999999999999993</v>
      </c>
      <c r="I23" s="11">
        <f t="shared" si="1"/>
        <v>1.23125</v>
      </c>
      <c r="J23" s="6" t="s">
        <v>22</v>
      </c>
      <c r="K23" s="28">
        <f t="shared" si="2"/>
        <v>2.8125</v>
      </c>
      <c r="L23" s="31"/>
      <c r="M23" s="39"/>
    </row>
    <row r="24" spans="1:13" x14ac:dyDescent="0.2">
      <c r="A24" s="36"/>
      <c r="B24" s="7" t="s">
        <v>31</v>
      </c>
      <c r="C24" s="6" t="s">
        <v>16</v>
      </c>
      <c r="D24" s="8" t="s">
        <v>27</v>
      </c>
      <c r="E24" s="8" t="s">
        <v>19</v>
      </c>
      <c r="F24" s="8">
        <v>33</v>
      </c>
      <c r="G24" s="9">
        <v>35.700000000000003</v>
      </c>
      <c r="H24" s="10">
        <f t="shared" si="0"/>
        <v>2.7000000000000028</v>
      </c>
      <c r="I24" s="11">
        <f t="shared" si="1"/>
        <v>1.081818181818182</v>
      </c>
      <c r="J24" s="6" t="s">
        <v>22</v>
      </c>
      <c r="K24" s="28">
        <f t="shared" si="2"/>
        <v>2.8125</v>
      </c>
      <c r="L24" s="31"/>
      <c r="M24" s="39"/>
    </row>
    <row r="25" spans="1:13" x14ac:dyDescent="0.2">
      <c r="A25" s="36"/>
      <c r="B25" s="7" t="s">
        <v>31</v>
      </c>
      <c r="C25" s="6" t="s">
        <v>16</v>
      </c>
      <c r="D25" s="8" t="s">
        <v>27</v>
      </c>
      <c r="E25" s="8" t="s">
        <v>19</v>
      </c>
      <c r="F25" s="8">
        <v>33</v>
      </c>
      <c r="G25" s="9">
        <v>40.6</v>
      </c>
      <c r="H25" s="10">
        <f t="shared" si="0"/>
        <v>7.6000000000000014</v>
      </c>
      <c r="I25" s="11">
        <f t="shared" si="1"/>
        <v>1.2303030303030305</v>
      </c>
      <c r="J25" s="6" t="s">
        <v>22</v>
      </c>
      <c r="K25" s="28">
        <f t="shared" si="2"/>
        <v>2.8125</v>
      </c>
      <c r="L25" s="31"/>
      <c r="M25" s="39"/>
    </row>
    <row r="26" spans="1:13" x14ac:dyDescent="0.2">
      <c r="A26" s="36"/>
      <c r="B26" s="7" t="s">
        <v>31</v>
      </c>
      <c r="C26" s="6" t="s">
        <v>16</v>
      </c>
      <c r="D26" s="8" t="s">
        <v>27</v>
      </c>
      <c r="E26" s="8" t="s">
        <v>20</v>
      </c>
      <c r="F26" s="8">
        <v>56</v>
      </c>
      <c r="G26" s="9">
        <v>66.3</v>
      </c>
      <c r="H26" s="10">
        <f t="shared" si="0"/>
        <v>10.299999999999997</v>
      </c>
      <c r="I26" s="11">
        <f t="shared" si="1"/>
        <v>1.1839285714285714</v>
      </c>
      <c r="J26" s="6" t="s">
        <v>22</v>
      </c>
      <c r="K26" s="28">
        <f t="shared" si="2"/>
        <v>2.8125</v>
      </c>
      <c r="L26" s="31"/>
      <c r="M26" s="39"/>
    </row>
    <row r="27" spans="1:13" ht="13.5" thickBot="1" x14ac:dyDescent="0.25">
      <c r="A27" s="37"/>
      <c r="B27" s="32" t="s">
        <v>31</v>
      </c>
      <c r="C27" s="25" t="s">
        <v>16</v>
      </c>
      <c r="D27" s="12" t="s">
        <v>27</v>
      </c>
      <c r="E27" s="12" t="s">
        <v>20</v>
      </c>
      <c r="F27" s="12">
        <v>56</v>
      </c>
      <c r="G27" s="13">
        <v>64.900000000000006</v>
      </c>
      <c r="H27" s="14">
        <f t="shared" si="0"/>
        <v>8.9000000000000057</v>
      </c>
      <c r="I27" s="15">
        <f t="shared" si="1"/>
        <v>1.1589285714285715</v>
      </c>
      <c r="J27" s="25" t="s">
        <v>22</v>
      </c>
      <c r="K27" s="33">
        <f t="shared" si="2"/>
        <v>2.8125</v>
      </c>
      <c r="L27" s="34">
        <f>AVERAGE(I20:I27)</f>
        <v>1.1065597943722945</v>
      </c>
      <c r="M27" s="39"/>
    </row>
    <row r="28" spans="1:13" x14ac:dyDescent="0.2">
      <c r="A28" s="35">
        <v>2</v>
      </c>
      <c r="B28" t="s">
        <v>32</v>
      </c>
      <c r="C28" s="16" t="s">
        <v>16</v>
      </c>
      <c r="D28" s="16" t="s">
        <v>27</v>
      </c>
      <c r="E28" s="16" t="s">
        <v>17</v>
      </c>
      <c r="F28" s="16">
        <v>10</v>
      </c>
      <c r="G28" s="17">
        <v>8.8000000000000007</v>
      </c>
      <c r="H28" s="18">
        <f t="shared" si="0"/>
        <v>-1.1999999999999993</v>
      </c>
      <c r="I28" s="19">
        <f t="shared" si="1"/>
        <v>0.88000000000000012</v>
      </c>
      <c r="J28" s="16" t="s">
        <v>22</v>
      </c>
      <c r="K28" s="29">
        <f t="shared" si="2"/>
        <v>2.8125</v>
      </c>
      <c r="L28" s="30"/>
      <c r="M28" s="39"/>
    </row>
    <row r="29" spans="1:13" x14ac:dyDescent="0.2">
      <c r="A29" s="36"/>
      <c r="B29" s="23" t="s">
        <v>32</v>
      </c>
      <c r="C29" s="6" t="s">
        <v>16</v>
      </c>
      <c r="D29" s="8" t="s">
        <v>27</v>
      </c>
      <c r="E29" s="8" t="s">
        <v>17</v>
      </c>
      <c r="F29" s="8">
        <v>10</v>
      </c>
      <c r="G29" s="9">
        <v>10.199999999999999</v>
      </c>
      <c r="H29" s="10">
        <f t="shared" si="0"/>
        <v>0.19999999999999929</v>
      </c>
      <c r="I29" s="11">
        <f t="shared" si="1"/>
        <v>1.02</v>
      </c>
      <c r="J29" s="6" t="s">
        <v>22</v>
      </c>
      <c r="K29" s="28">
        <f t="shared" si="2"/>
        <v>2.8125</v>
      </c>
      <c r="L29" s="31"/>
      <c r="M29" s="39"/>
    </row>
    <row r="30" spans="1:13" x14ac:dyDescent="0.2">
      <c r="A30" s="36"/>
      <c r="B30" s="23" t="s">
        <v>32</v>
      </c>
      <c r="C30" s="6" t="s">
        <v>16</v>
      </c>
      <c r="D30" s="8" t="s">
        <v>27</v>
      </c>
      <c r="E30" s="8" t="s">
        <v>18</v>
      </c>
      <c r="F30" s="8">
        <v>16</v>
      </c>
      <c r="G30" s="9">
        <v>18.899999999999999</v>
      </c>
      <c r="H30" s="10">
        <f t="shared" si="0"/>
        <v>2.8999999999999986</v>
      </c>
      <c r="I30" s="11">
        <f t="shared" si="1"/>
        <v>1.1812499999999999</v>
      </c>
      <c r="J30" s="6" t="s">
        <v>22</v>
      </c>
      <c r="K30" s="28">
        <f t="shared" si="2"/>
        <v>2.8125</v>
      </c>
      <c r="L30" s="31"/>
      <c r="M30" s="39"/>
    </row>
    <row r="31" spans="1:13" x14ac:dyDescent="0.2">
      <c r="A31" s="36"/>
      <c r="B31" s="23" t="s">
        <v>32</v>
      </c>
      <c r="C31" s="6" t="s">
        <v>16</v>
      </c>
      <c r="D31" s="8" t="s">
        <v>27</v>
      </c>
      <c r="E31" s="8" t="s">
        <v>18</v>
      </c>
      <c r="F31" s="8">
        <v>16</v>
      </c>
      <c r="G31" s="9">
        <v>16.600000000000001</v>
      </c>
      <c r="H31" s="10">
        <f t="shared" si="0"/>
        <v>0.60000000000000142</v>
      </c>
      <c r="I31" s="11">
        <f t="shared" si="1"/>
        <v>1.0375000000000001</v>
      </c>
      <c r="J31" s="6" t="s">
        <v>22</v>
      </c>
      <c r="K31" s="28">
        <f t="shared" si="2"/>
        <v>2.8125</v>
      </c>
      <c r="L31" s="31"/>
      <c r="M31" s="39"/>
    </row>
    <row r="32" spans="1:13" x14ac:dyDescent="0.2">
      <c r="A32" s="36"/>
      <c r="B32" s="23" t="s">
        <v>32</v>
      </c>
      <c r="C32" s="6" t="s">
        <v>16</v>
      </c>
      <c r="D32" s="8" t="s">
        <v>27</v>
      </c>
      <c r="E32" s="8" t="s">
        <v>19</v>
      </c>
      <c r="F32" s="8">
        <v>33</v>
      </c>
      <c r="G32" s="9">
        <v>36.799999999999997</v>
      </c>
      <c r="H32" s="10">
        <f t="shared" si="0"/>
        <v>3.7999999999999972</v>
      </c>
      <c r="I32" s="11">
        <f t="shared" si="1"/>
        <v>1.115151515151515</v>
      </c>
      <c r="J32" s="6" t="s">
        <v>22</v>
      </c>
      <c r="K32" s="28">
        <f t="shared" si="2"/>
        <v>2.8125</v>
      </c>
      <c r="L32" s="31"/>
      <c r="M32" s="39"/>
    </row>
    <row r="33" spans="1:13" x14ac:dyDescent="0.2">
      <c r="A33" s="36"/>
      <c r="B33" s="23" t="s">
        <v>32</v>
      </c>
      <c r="C33" s="6" t="s">
        <v>16</v>
      </c>
      <c r="D33" s="8" t="s">
        <v>27</v>
      </c>
      <c r="E33" s="8" t="s">
        <v>19</v>
      </c>
      <c r="F33" s="8">
        <v>33</v>
      </c>
      <c r="G33" s="9">
        <v>34.4</v>
      </c>
      <c r="H33" s="10">
        <f t="shared" si="0"/>
        <v>1.3999999999999986</v>
      </c>
      <c r="I33" s="11">
        <f t="shared" si="1"/>
        <v>1.0424242424242425</v>
      </c>
      <c r="J33" s="6" t="s">
        <v>22</v>
      </c>
      <c r="K33" s="28">
        <f t="shared" si="2"/>
        <v>2.8125</v>
      </c>
      <c r="L33" s="31"/>
      <c r="M33" s="39"/>
    </row>
    <row r="34" spans="1:13" x14ac:dyDescent="0.2">
      <c r="A34" s="36"/>
      <c r="B34" s="23" t="s">
        <v>32</v>
      </c>
      <c r="C34" s="6" t="s">
        <v>16</v>
      </c>
      <c r="D34" s="8" t="s">
        <v>27</v>
      </c>
      <c r="E34" s="8" t="s">
        <v>20</v>
      </c>
      <c r="F34" s="8">
        <v>56</v>
      </c>
      <c r="G34" s="9">
        <v>59.7</v>
      </c>
      <c r="H34" s="10">
        <f t="shared" si="0"/>
        <v>3.7000000000000028</v>
      </c>
      <c r="I34" s="11">
        <f t="shared" si="1"/>
        <v>1.0660714285714286</v>
      </c>
      <c r="J34" s="6" t="s">
        <v>22</v>
      </c>
      <c r="K34" s="28">
        <f t="shared" si="2"/>
        <v>2.8125</v>
      </c>
      <c r="L34" s="31"/>
      <c r="M34" s="21"/>
    </row>
    <row r="35" spans="1:13" ht="13.5" thickBot="1" x14ac:dyDescent="0.25">
      <c r="A35" s="37"/>
      <c r="B35" s="24" t="s">
        <v>32</v>
      </c>
      <c r="C35" s="25" t="s">
        <v>16</v>
      </c>
      <c r="D35" s="12" t="s">
        <v>27</v>
      </c>
      <c r="E35" s="12" t="s">
        <v>20</v>
      </c>
      <c r="F35" s="12">
        <v>56</v>
      </c>
      <c r="G35" s="13">
        <v>65.3</v>
      </c>
      <c r="H35" s="14">
        <f t="shared" si="0"/>
        <v>9.2999999999999972</v>
      </c>
      <c r="I35" s="15">
        <f t="shared" si="1"/>
        <v>1.1660714285714284</v>
      </c>
      <c r="J35" s="25" t="s">
        <v>22</v>
      </c>
      <c r="K35" s="33">
        <f t="shared" si="2"/>
        <v>2.8125</v>
      </c>
      <c r="L35" s="34">
        <f>AVERAGE(I28:I35)</f>
        <v>1.0635585768398268</v>
      </c>
      <c r="M35" s="22"/>
    </row>
    <row r="36" spans="1:13" ht="12.75" customHeight="1" x14ac:dyDescent="0.2">
      <c r="A36" s="35">
        <v>3</v>
      </c>
      <c r="B36" t="s">
        <v>33</v>
      </c>
      <c r="C36" s="16" t="s">
        <v>16</v>
      </c>
      <c r="D36" s="16" t="s">
        <v>27</v>
      </c>
      <c r="E36" s="16" t="s">
        <v>17</v>
      </c>
      <c r="F36" s="16">
        <v>10</v>
      </c>
      <c r="G36" s="17">
        <v>8</v>
      </c>
      <c r="H36" s="18">
        <f t="shared" ref="H36:H67" si="3">G36-F36</f>
        <v>-2</v>
      </c>
      <c r="I36" s="19">
        <f t="shared" ref="I36:I67" si="4">G36/F36</f>
        <v>0.8</v>
      </c>
      <c r="J36" s="16" t="s">
        <v>22</v>
      </c>
      <c r="K36" s="29">
        <f>$E$17</f>
        <v>2.8125</v>
      </c>
      <c r="L36" s="30"/>
      <c r="M36" s="38"/>
    </row>
    <row r="37" spans="1:13" ht="12.75" customHeight="1" x14ac:dyDescent="0.2">
      <c r="A37" s="36"/>
      <c r="B37" s="7" t="s">
        <v>33</v>
      </c>
      <c r="C37" s="6" t="s">
        <v>16</v>
      </c>
      <c r="D37" s="8" t="s">
        <v>27</v>
      </c>
      <c r="E37" s="8" t="s">
        <v>17</v>
      </c>
      <c r="F37" s="8">
        <v>10</v>
      </c>
      <c r="G37" s="9">
        <v>9.6</v>
      </c>
      <c r="H37" s="10">
        <f t="shared" si="3"/>
        <v>-0.40000000000000036</v>
      </c>
      <c r="I37" s="11">
        <f t="shared" si="4"/>
        <v>0.96</v>
      </c>
      <c r="J37" s="6" t="s">
        <v>22</v>
      </c>
      <c r="K37" s="28">
        <f t="shared" si="2"/>
        <v>2.8125</v>
      </c>
      <c r="L37" s="31"/>
      <c r="M37" s="39"/>
    </row>
    <row r="38" spans="1:13" ht="12.75" customHeight="1" x14ac:dyDescent="0.2">
      <c r="A38" s="36"/>
      <c r="B38" s="7" t="s">
        <v>33</v>
      </c>
      <c r="C38" s="6" t="s">
        <v>16</v>
      </c>
      <c r="D38" s="8" t="s">
        <v>27</v>
      </c>
      <c r="E38" s="8" t="s">
        <v>18</v>
      </c>
      <c r="F38" s="8">
        <v>16</v>
      </c>
      <c r="G38" s="9">
        <v>19.7</v>
      </c>
      <c r="H38" s="10">
        <f t="shared" si="3"/>
        <v>3.6999999999999993</v>
      </c>
      <c r="I38" s="11">
        <f t="shared" si="4"/>
        <v>1.23125</v>
      </c>
      <c r="J38" s="6" t="s">
        <v>22</v>
      </c>
      <c r="K38" s="28">
        <f t="shared" si="2"/>
        <v>2.8125</v>
      </c>
      <c r="L38" s="31"/>
      <c r="M38" s="39"/>
    </row>
    <row r="39" spans="1:13" ht="12.75" customHeight="1" x14ac:dyDescent="0.2">
      <c r="A39" s="36"/>
      <c r="B39" s="7" t="s">
        <v>33</v>
      </c>
      <c r="C39" s="6" t="s">
        <v>16</v>
      </c>
      <c r="D39" s="8" t="s">
        <v>27</v>
      </c>
      <c r="E39" s="8" t="s">
        <v>18</v>
      </c>
      <c r="F39" s="8">
        <v>16</v>
      </c>
      <c r="G39" s="9">
        <v>20.8</v>
      </c>
      <c r="H39" s="10">
        <f t="shared" si="3"/>
        <v>4.8000000000000007</v>
      </c>
      <c r="I39" s="11">
        <f t="shared" si="4"/>
        <v>1.3</v>
      </c>
      <c r="J39" s="6" t="s">
        <v>22</v>
      </c>
      <c r="K39" s="28">
        <f t="shared" si="2"/>
        <v>2.8125</v>
      </c>
      <c r="L39" s="31"/>
      <c r="M39" s="39"/>
    </row>
    <row r="40" spans="1:13" ht="12.75" customHeight="1" x14ac:dyDescent="0.2">
      <c r="A40" s="36"/>
      <c r="B40" s="7" t="s">
        <v>33</v>
      </c>
      <c r="C40" s="6" t="s">
        <v>16</v>
      </c>
      <c r="D40" s="8" t="s">
        <v>27</v>
      </c>
      <c r="E40" s="8" t="s">
        <v>19</v>
      </c>
      <c r="F40" s="8">
        <v>33</v>
      </c>
      <c r="G40" s="9">
        <v>34.799999999999997</v>
      </c>
      <c r="H40" s="10">
        <f t="shared" si="3"/>
        <v>1.7999999999999972</v>
      </c>
      <c r="I40" s="11">
        <f t="shared" si="4"/>
        <v>1.0545454545454545</v>
      </c>
      <c r="J40" s="6" t="s">
        <v>22</v>
      </c>
      <c r="K40" s="28">
        <f t="shared" si="2"/>
        <v>2.8125</v>
      </c>
      <c r="L40" s="31"/>
      <c r="M40" s="39"/>
    </row>
    <row r="41" spans="1:13" ht="12.75" customHeight="1" x14ac:dyDescent="0.2">
      <c r="A41" s="36"/>
      <c r="B41" s="7" t="s">
        <v>33</v>
      </c>
      <c r="C41" s="6" t="s">
        <v>16</v>
      </c>
      <c r="D41" s="8" t="s">
        <v>27</v>
      </c>
      <c r="E41" s="8" t="s">
        <v>19</v>
      </c>
      <c r="F41" s="8">
        <v>33</v>
      </c>
      <c r="G41" s="9">
        <v>39.799999999999997</v>
      </c>
      <c r="H41" s="10">
        <f t="shared" si="3"/>
        <v>6.7999999999999972</v>
      </c>
      <c r="I41" s="11">
        <f t="shared" si="4"/>
        <v>1.2060606060606061</v>
      </c>
      <c r="J41" s="6" t="s">
        <v>22</v>
      </c>
      <c r="K41" s="28">
        <f t="shared" si="2"/>
        <v>2.8125</v>
      </c>
      <c r="L41" s="31"/>
      <c r="M41" s="39"/>
    </row>
    <row r="42" spans="1:13" ht="12.75" customHeight="1" x14ac:dyDescent="0.2">
      <c r="A42" s="36"/>
      <c r="B42" s="7" t="s">
        <v>33</v>
      </c>
      <c r="C42" s="6" t="s">
        <v>16</v>
      </c>
      <c r="D42" s="8" t="s">
        <v>27</v>
      </c>
      <c r="E42" s="8" t="s">
        <v>20</v>
      </c>
      <c r="F42" s="8">
        <v>56</v>
      </c>
      <c r="G42" s="9">
        <v>67.400000000000006</v>
      </c>
      <c r="H42" s="10">
        <f t="shared" si="3"/>
        <v>11.400000000000006</v>
      </c>
      <c r="I42" s="11">
        <f t="shared" si="4"/>
        <v>1.2035714285714287</v>
      </c>
      <c r="J42" s="6" t="s">
        <v>22</v>
      </c>
      <c r="K42" s="28">
        <f t="shared" si="2"/>
        <v>2.8125</v>
      </c>
      <c r="L42" s="31"/>
      <c r="M42" s="39"/>
    </row>
    <row r="43" spans="1:13" ht="13.5" customHeight="1" thickBot="1" x14ac:dyDescent="0.25">
      <c r="A43" s="37"/>
      <c r="B43" s="32" t="s">
        <v>33</v>
      </c>
      <c r="C43" s="25" t="s">
        <v>16</v>
      </c>
      <c r="D43" s="12" t="s">
        <v>27</v>
      </c>
      <c r="E43" s="12" t="s">
        <v>20</v>
      </c>
      <c r="F43" s="12">
        <v>56</v>
      </c>
      <c r="G43" s="13">
        <v>69.099999999999994</v>
      </c>
      <c r="H43" s="14">
        <f t="shared" si="3"/>
        <v>13.099999999999994</v>
      </c>
      <c r="I43" s="15">
        <f t="shared" si="4"/>
        <v>1.2339285714285713</v>
      </c>
      <c r="J43" s="25" t="s">
        <v>22</v>
      </c>
      <c r="K43" s="33">
        <f t="shared" si="2"/>
        <v>2.8125</v>
      </c>
      <c r="L43" s="34">
        <f>AVERAGE(I36:I43)</f>
        <v>1.1236695075757575</v>
      </c>
      <c r="M43" s="39"/>
    </row>
    <row r="44" spans="1:13" ht="12.75" customHeight="1" x14ac:dyDescent="0.2">
      <c r="A44" s="35">
        <v>4</v>
      </c>
      <c r="B44" t="s">
        <v>34</v>
      </c>
      <c r="C44" s="16" t="s">
        <v>16</v>
      </c>
      <c r="D44" s="16" t="s">
        <v>27</v>
      </c>
      <c r="E44" s="16" t="s">
        <v>17</v>
      </c>
      <c r="F44" s="16">
        <v>10</v>
      </c>
      <c r="G44" s="17">
        <v>11.2</v>
      </c>
      <c r="H44" s="18">
        <f t="shared" si="3"/>
        <v>1.1999999999999993</v>
      </c>
      <c r="I44" s="19">
        <f t="shared" si="4"/>
        <v>1.1199999999999999</v>
      </c>
      <c r="J44" s="16" t="s">
        <v>22</v>
      </c>
      <c r="K44" s="29">
        <f t="shared" si="2"/>
        <v>2.8125</v>
      </c>
      <c r="L44" s="30"/>
      <c r="M44" s="39"/>
    </row>
    <row r="45" spans="1:13" ht="12.75" customHeight="1" x14ac:dyDescent="0.2">
      <c r="A45" s="36"/>
      <c r="B45" s="23" t="s">
        <v>34</v>
      </c>
      <c r="C45" s="8" t="s">
        <v>16</v>
      </c>
      <c r="D45" s="8" t="s">
        <v>27</v>
      </c>
      <c r="E45" s="8" t="s">
        <v>17</v>
      </c>
      <c r="F45" s="8">
        <v>10</v>
      </c>
      <c r="G45" s="9">
        <v>8</v>
      </c>
      <c r="H45" s="10">
        <f t="shared" si="3"/>
        <v>-2</v>
      </c>
      <c r="I45" s="11">
        <f t="shared" si="4"/>
        <v>0.8</v>
      </c>
      <c r="J45" s="6" t="s">
        <v>22</v>
      </c>
      <c r="K45" s="28">
        <f t="shared" si="2"/>
        <v>2.8125</v>
      </c>
      <c r="L45" s="31"/>
      <c r="M45" s="39"/>
    </row>
    <row r="46" spans="1:13" ht="12.75" customHeight="1" x14ac:dyDescent="0.2">
      <c r="A46" s="36"/>
      <c r="B46" s="23" t="s">
        <v>34</v>
      </c>
      <c r="C46" s="8" t="s">
        <v>16</v>
      </c>
      <c r="D46" s="8" t="s">
        <v>27</v>
      </c>
      <c r="E46" s="8" t="s">
        <v>18</v>
      </c>
      <c r="F46" s="8">
        <v>16</v>
      </c>
      <c r="G46" s="9">
        <v>14.7</v>
      </c>
      <c r="H46" s="10">
        <f t="shared" si="3"/>
        <v>-1.3000000000000007</v>
      </c>
      <c r="I46" s="11">
        <f t="shared" si="4"/>
        <v>0.91874999999999996</v>
      </c>
      <c r="J46" s="6" t="s">
        <v>22</v>
      </c>
      <c r="K46" s="28">
        <f t="shared" si="2"/>
        <v>2.8125</v>
      </c>
      <c r="L46" s="31"/>
      <c r="M46" s="39"/>
    </row>
    <row r="47" spans="1:13" ht="12.75" customHeight="1" x14ac:dyDescent="0.2">
      <c r="A47" s="36"/>
      <c r="B47" s="23" t="s">
        <v>34</v>
      </c>
      <c r="C47" s="8" t="s">
        <v>16</v>
      </c>
      <c r="D47" s="8" t="s">
        <v>27</v>
      </c>
      <c r="E47" s="8" t="s">
        <v>18</v>
      </c>
      <c r="F47" s="8">
        <v>16</v>
      </c>
      <c r="G47" s="9">
        <v>15.6</v>
      </c>
      <c r="H47" s="10">
        <f t="shared" si="3"/>
        <v>-0.40000000000000036</v>
      </c>
      <c r="I47" s="11">
        <f t="shared" si="4"/>
        <v>0.97499999999999998</v>
      </c>
      <c r="J47" s="6" t="s">
        <v>22</v>
      </c>
      <c r="K47" s="28">
        <f t="shared" si="2"/>
        <v>2.8125</v>
      </c>
      <c r="L47" s="31"/>
      <c r="M47" s="39"/>
    </row>
    <row r="48" spans="1:13" ht="12.75" customHeight="1" x14ac:dyDescent="0.2">
      <c r="A48" s="36"/>
      <c r="B48" s="23" t="s">
        <v>34</v>
      </c>
      <c r="C48" s="8" t="s">
        <v>16</v>
      </c>
      <c r="D48" s="8" t="s">
        <v>27</v>
      </c>
      <c r="E48" s="8" t="s">
        <v>19</v>
      </c>
      <c r="F48" s="8">
        <v>33</v>
      </c>
      <c r="G48" s="9">
        <v>38.200000000000003</v>
      </c>
      <c r="H48" s="10">
        <f t="shared" si="3"/>
        <v>5.2000000000000028</v>
      </c>
      <c r="I48" s="11">
        <f t="shared" si="4"/>
        <v>1.1575757575757577</v>
      </c>
      <c r="J48" s="6" t="s">
        <v>22</v>
      </c>
      <c r="K48" s="28">
        <f t="shared" si="2"/>
        <v>2.8125</v>
      </c>
      <c r="L48" s="31"/>
      <c r="M48" s="39"/>
    </row>
    <row r="49" spans="1:13" ht="12.75" customHeight="1" x14ac:dyDescent="0.2">
      <c r="A49" s="36"/>
      <c r="B49" s="23" t="s">
        <v>34</v>
      </c>
      <c r="C49" s="8" t="s">
        <v>16</v>
      </c>
      <c r="D49" s="8" t="s">
        <v>27</v>
      </c>
      <c r="E49" s="8" t="s">
        <v>19</v>
      </c>
      <c r="F49" s="8">
        <v>33</v>
      </c>
      <c r="G49" s="9">
        <v>36.4</v>
      </c>
      <c r="H49" s="10">
        <f t="shared" si="3"/>
        <v>3.3999999999999986</v>
      </c>
      <c r="I49" s="11">
        <f t="shared" si="4"/>
        <v>1.103030303030303</v>
      </c>
      <c r="J49" s="6" t="s">
        <v>22</v>
      </c>
      <c r="K49" s="28">
        <f t="shared" si="2"/>
        <v>2.8125</v>
      </c>
      <c r="L49" s="31"/>
      <c r="M49" s="39"/>
    </row>
    <row r="50" spans="1:13" ht="12.75" customHeight="1" x14ac:dyDescent="0.2">
      <c r="A50" s="36"/>
      <c r="B50" s="23" t="s">
        <v>34</v>
      </c>
      <c r="C50" s="8" t="s">
        <v>16</v>
      </c>
      <c r="D50" s="8" t="s">
        <v>27</v>
      </c>
      <c r="E50" s="8" t="s">
        <v>20</v>
      </c>
      <c r="F50" s="8">
        <v>56</v>
      </c>
      <c r="G50" s="9">
        <v>61.6</v>
      </c>
      <c r="H50" s="10">
        <f t="shared" si="3"/>
        <v>5.6000000000000014</v>
      </c>
      <c r="I50" s="11">
        <f t="shared" si="4"/>
        <v>1.1000000000000001</v>
      </c>
      <c r="J50" s="6" t="s">
        <v>22</v>
      </c>
      <c r="K50" s="28">
        <f t="shared" si="2"/>
        <v>2.8125</v>
      </c>
      <c r="L50" s="31"/>
      <c r="M50" s="21"/>
    </row>
    <row r="51" spans="1:13" ht="13.5" customHeight="1" thickBot="1" x14ac:dyDescent="0.25">
      <c r="A51" s="37"/>
      <c r="B51" s="24" t="s">
        <v>34</v>
      </c>
      <c r="C51" s="12" t="s">
        <v>16</v>
      </c>
      <c r="D51" s="12" t="s">
        <v>27</v>
      </c>
      <c r="E51" s="12" t="s">
        <v>20</v>
      </c>
      <c r="F51" s="12">
        <v>56</v>
      </c>
      <c r="G51" s="13">
        <v>57.1</v>
      </c>
      <c r="H51" s="14">
        <f t="shared" si="3"/>
        <v>1.1000000000000014</v>
      </c>
      <c r="I51" s="15">
        <f t="shared" si="4"/>
        <v>1.0196428571428571</v>
      </c>
      <c r="J51" s="25" t="s">
        <v>22</v>
      </c>
      <c r="K51" s="33">
        <f t="shared" si="2"/>
        <v>2.8125</v>
      </c>
      <c r="L51" s="34">
        <f>AVERAGE(I44:I51)</f>
        <v>1.0242498647186147</v>
      </c>
      <c r="M51" s="22"/>
    </row>
    <row r="52" spans="1:13" ht="12.75" customHeight="1" x14ac:dyDescent="0.2">
      <c r="A52" s="35">
        <v>5</v>
      </c>
      <c r="B52" t="s">
        <v>35</v>
      </c>
      <c r="C52" s="16" t="s">
        <v>16</v>
      </c>
      <c r="D52" s="16" t="s">
        <v>27</v>
      </c>
      <c r="E52" s="16" t="s">
        <v>17</v>
      </c>
      <c r="F52" s="16">
        <v>10</v>
      </c>
      <c r="G52" s="17">
        <v>9.9</v>
      </c>
      <c r="H52" s="18">
        <f t="shared" si="3"/>
        <v>-9.9999999999999645E-2</v>
      </c>
      <c r="I52" s="19">
        <f t="shared" si="4"/>
        <v>0.99</v>
      </c>
      <c r="J52" s="16" t="s">
        <v>22</v>
      </c>
      <c r="K52" s="29">
        <f>$E$17</f>
        <v>2.8125</v>
      </c>
      <c r="L52" s="30"/>
      <c r="M52" s="38"/>
    </row>
    <row r="53" spans="1:13" ht="12.75" customHeight="1" x14ac:dyDescent="0.2">
      <c r="A53" s="36"/>
      <c r="B53" s="7" t="s">
        <v>35</v>
      </c>
      <c r="C53" s="6" t="s">
        <v>16</v>
      </c>
      <c r="D53" s="8" t="s">
        <v>27</v>
      </c>
      <c r="E53" s="8" t="s">
        <v>17</v>
      </c>
      <c r="F53" s="8">
        <v>10</v>
      </c>
      <c r="G53" s="9">
        <v>10.1</v>
      </c>
      <c r="H53" s="10">
        <f t="shared" si="3"/>
        <v>9.9999999999999645E-2</v>
      </c>
      <c r="I53" s="11">
        <f t="shared" si="4"/>
        <v>1.01</v>
      </c>
      <c r="J53" s="6" t="s">
        <v>22</v>
      </c>
      <c r="K53" s="28">
        <f t="shared" si="2"/>
        <v>2.8125</v>
      </c>
      <c r="L53" s="31"/>
      <c r="M53" s="39"/>
    </row>
    <row r="54" spans="1:13" ht="12.75" customHeight="1" x14ac:dyDescent="0.2">
      <c r="A54" s="36"/>
      <c r="B54" s="7" t="s">
        <v>35</v>
      </c>
      <c r="C54" s="6" t="s">
        <v>16</v>
      </c>
      <c r="D54" s="8" t="s">
        <v>27</v>
      </c>
      <c r="E54" s="8" t="s">
        <v>18</v>
      </c>
      <c r="F54" s="8">
        <v>16</v>
      </c>
      <c r="G54" s="9">
        <v>21.9</v>
      </c>
      <c r="H54" s="10">
        <f t="shared" si="3"/>
        <v>5.8999999999999986</v>
      </c>
      <c r="I54" s="11">
        <f t="shared" si="4"/>
        <v>1.3687499999999999</v>
      </c>
      <c r="J54" s="6" t="s">
        <v>22</v>
      </c>
      <c r="K54" s="28">
        <f t="shared" si="2"/>
        <v>2.8125</v>
      </c>
      <c r="L54" s="31"/>
      <c r="M54" s="39"/>
    </row>
    <row r="55" spans="1:13" ht="12.75" customHeight="1" x14ac:dyDescent="0.2">
      <c r="A55" s="36"/>
      <c r="B55" s="7" t="s">
        <v>35</v>
      </c>
      <c r="C55" s="6" t="s">
        <v>16</v>
      </c>
      <c r="D55" s="8" t="s">
        <v>27</v>
      </c>
      <c r="E55" s="8" t="s">
        <v>18</v>
      </c>
      <c r="F55" s="8">
        <v>16</v>
      </c>
      <c r="G55" s="9">
        <v>21.3</v>
      </c>
      <c r="H55" s="10">
        <f t="shared" si="3"/>
        <v>5.3000000000000007</v>
      </c>
      <c r="I55" s="11">
        <f t="shared" si="4"/>
        <v>1.33125</v>
      </c>
      <c r="J55" s="6" t="s">
        <v>22</v>
      </c>
      <c r="K55" s="28">
        <f t="shared" si="2"/>
        <v>2.8125</v>
      </c>
      <c r="L55" s="31"/>
      <c r="M55" s="39"/>
    </row>
    <row r="56" spans="1:13" ht="12.75" customHeight="1" x14ac:dyDescent="0.2">
      <c r="A56" s="36"/>
      <c r="B56" s="7" t="s">
        <v>35</v>
      </c>
      <c r="C56" s="6" t="s">
        <v>16</v>
      </c>
      <c r="D56" s="8" t="s">
        <v>27</v>
      </c>
      <c r="E56" s="8" t="s">
        <v>19</v>
      </c>
      <c r="F56" s="8">
        <v>33</v>
      </c>
      <c r="G56" s="9">
        <v>39.5</v>
      </c>
      <c r="H56" s="10">
        <f t="shared" si="3"/>
        <v>6.5</v>
      </c>
      <c r="I56" s="11">
        <f t="shared" si="4"/>
        <v>1.196969696969697</v>
      </c>
      <c r="J56" s="6" t="s">
        <v>22</v>
      </c>
      <c r="K56" s="28">
        <f t="shared" si="2"/>
        <v>2.8125</v>
      </c>
      <c r="L56" s="31"/>
      <c r="M56" s="39"/>
    </row>
    <row r="57" spans="1:13" ht="12.75" customHeight="1" x14ac:dyDescent="0.2">
      <c r="A57" s="36"/>
      <c r="B57" s="7" t="s">
        <v>35</v>
      </c>
      <c r="C57" s="6" t="s">
        <v>16</v>
      </c>
      <c r="D57" s="8" t="s">
        <v>27</v>
      </c>
      <c r="E57" s="8" t="s">
        <v>19</v>
      </c>
      <c r="F57" s="8">
        <v>33</v>
      </c>
      <c r="G57" s="9">
        <v>46.6</v>
      </c>
      <c r="H57" s="10">
        <f t="shared" si="3"/>
        <v>13.600000000000001</v>
      </c>
      <c r="I57" s="11">
        <f t="shared" si="4"/>
        <v>1.4121212121212121</v>
      </c>
      <c r="J57" s="6" t="s">
        <v>22</v>
      </c>
      <c r="K57" s="28">
        <f t="shared" si="2"/>
        <v>2.8125</v>
      </c>
      <c r="L57" s="31"/>
      <c r="M57" s="39"/>
    </row>
    <row r="58" spans="1:13" ht="12.75" customHeight="1" x14ac:dyDescent="0.2">
      <c r="A58" s="36"/>
      <c r="B58" s="7" t="s">
        <v>35</v>
      </c>
      <c r="C58" s="6" t="s">
        <v>16</v>
      </c>
      <c r="D58" s="8" t="s">
        <v>27</v>
      </c>
      <c r="E58" s="8" t="s">
        <v>20</v>
      </c>
      <c r="F58" s="8">
        <v>56</v>
      </c>
      <c r="G58" s="9">
        <v>59.1</v>
      </c>
      <c r="H58" s="10">
        <f t="shared" si="3"/>
        <v>3.1000000000000014</v>
      </c>
      <c r="I58" s="11">
        <f t="shared" si="4"/>
        <v>1.0553571428571429</v>
      </c>
      <c r="J58" s="6" t="s">
        <v>22</v>
      </c>
      <c r="K58" s="28">
        <f t="shared" si="2"/>
        <v>2.8125</v>
      </c>
      <c r="L58" s="31"/>
      <c r="M58" s="39"/>
    </row>
    <row r="59" spans="1:13" ht="13.5" customHeight="1" thickBot="1" x14ac:dyDescent="0.25">
      <c r="A59" s="37"/>
      <c r="B59" s="32" t="s">
        <v>35</v>
      </c>
      <c r="C59" s="25" t="s">
        <v>16</v>
      </c>
      <c r="D59" s="12" t="s">
        <v>27</v>
      </c>
      <c r="E59" s="12" t="s">
        <v>20</v>
      </c>
      <c r="F59" s="12">
        <v>56</v>
      </c>
      <c r="G59" s="13">
        <v>70.400000000000006</v>
      </c>
      <c r="H59" s="14">
        <f t="shared" si="3"/>
        <v>14.400000000000006</v>
      </c>
      <c r="I59" s="15">
        <f t="shared" si="4"/>
        <v>1.2571428571428573</v>
      </c>
      <c r="J59" s="25" t="s">
        <v>22</v>
      </c>
      <c r="K59" s="33">
        <f t="shared" si="2"/>
        <v>2.8125</v>
      </c>
      <c r="L59" s="34">
        <f>AVERAGE(I52:I59)</f>
        <v>1.2026988636363638</v>
      </c>
      <c r="M59" s="39"/>
    </row>
    <row r="60" spans="1:13" ht="12.75" customHeight="1" x14ac:dyDescent="0.2">
      <c r="A60" s="35">
        <v>6</v>
      </c>
      <c r="B60" t="s">
        <v>36</v>
      </c>
      <c r="C60" s="16" t="s">
        <v>16</v>
      </c>
      <c r="D60" s="16" t="s">
        <v>27</v>
      </c>
      <c r="E60" s="16" t="s">
        <v>17</v>
      </c>
      <c r="F60" s="16">
        <v>10</v>
      </c>
      <c r="G60" s="17">
        <v>10.4</v>
      </c>
      <c r="H60" s="18">
        <f t="shared" si="3"/>
        <v>0.40000000000000036</v>
      </c>
      <c r="I60" s="19">
        <f t="shared" si="4"/>
        <v>1.04</v>
      </c>
      <c r="J60" s="16" t="s">
        <v>22</v>
      </c>
      <c r="K60" s="29">
        <f t="shared" si="2"/>
        <v>2.8125</v>
      </c>
      <c r="L60" s="30"/>
      <c r="M60" s="39"/>
    </row>
    <row r="61" spans="1:13" ht="12.75" customHeight="1" x14ac:dyDescent="0.2">
      <c r="A61" s="36"/>
      <c r="B61" s="23" t="s">
        <v>36</v>
      </c>
      <c r="C61" s="8" t="s">
        <v>16</v>
      </c>
      <c r="D61" s="8" t="s">
        <v>27</v>
      </c>
      <c r="E61" s="8" t="s">
        <v>17</v>
      </c>
      <c r="F61" s="8">
        <v>10</v>
      </c>
      <c r="G61" s="9">
        <v>9.4</v>
      </c>
      <c r="H61" s="10">
        <f t="shared" si="3"/>
        <v>-0.59999999999999964</v>
      </c>
      <c r="I61" s="11">
        <f t="shared" si="4"/>
        <v>0.94000000000000006</v>
      </c>
      <c r="J61" s="6" t="s">
        <v>22</v>
      </c>
      <c r="K61" s="28">
        <f t="shared" si="2"/>
        <v>2.8125</v>
      </c>
      <c r="L61" s="31"/>
      <c r="M61" s="39"/>
    </row>
    <row r="62" spans="1:13" ht="12.75" customHeight="1" x14ac:dyDescent="0.2">
      <c r="A62" s="36"/>
      <c r="B62" s="23" t="s">
        <v>36</v>
      </c>
      <c r="C62" s="8" t="s">
        <v>16</v>
      </c>
      <c r="D62" s="8" t="s">
        <v>27</v>
      </c>
      <c r="E62" s="8" t="s">
        <v>18</v>
      </c>
      <c r="F62" s="8">
        <v>16</v>
      </c>
      <c r="G62" s="9">
        <v>20.100000000000001</v>
      </c>
      <c r="H62" s="10">
        <f t="shared" si="3"/>
        <v>4.1000000000000014</v>
      </c>
      <c r="I62" s="11">
        <f t="shared" si="4"/>
        <v>1.2562500000000001</v>
      </c>
      <c r="J62" s="6" t="s">
        <v>22</v>
      </c>
      <c r="K62" s="28">
        <f t="shared" si="2"/>
        <v>2.8125</v>
      </c>
      <c r="L62" s="31"/>
      <c r="M62" s="39"/>
    </row>
    <row r="63" spans="1:13" ht="12.75" customHeight="1" x14ac:dyDescent="0.2">
      <c r="A63" s="36"/>
      <c r="B63" s="23" t="s">
        <v>36</v>
      </c>
      <c r="C63" s="8" t="s">
        <v>16</v>
      </c>
      <c r="D63" s="8" t="s">
        <v>27</v>
      </c>
      <c r="E63" s="8" t="s">
        <v>18</v>
      </c>
      <c r="F63" s="8">
        <v>16</v>
      </c>
      <c r="G63" s="9">
        <v>22.8</v>
      </c>
      <c r="H63" s="10">
        <f t="shared" si="3"/>
        <v>6.8000000000000007</v>
      </c>
      <c r="I63" s="11">
        <f t="shared" si="4"/>
        <v>1.425</v>
      </c>
      <c r="J63" s="6" t="s">
        <v>22</v>
      </c>
      <c r="K63" s="28">
        <f t="shared" si="2"/>
        <v>2.8125</v>
      </c>
      <c r="L63" s="31"/>
      <c r="M63" s="39"/>
    </row>
    <row r="64" spans="1:13" ht="12.75" customHeight="1" x14ac:dyDescent="0.2">
      <c r="A64" s="36"/>
      <c r="B64" s="23" t="s">
        <v>36</v>
      </c>
      <c r="C64" s="8" t="s">
        <v>16</v>
      </c>
      <c r="D64" s="8" t="s">
        <v>27</v>
      </c>
      <c r="E64" s="8" t="s">
        <v>19</v>
      </c>
      <c r="F64" s="8">
        <v>33</v>
      </c>
      <c r="G64" s="9">
        <v>47</v>
      </c>
      <c r="H64" s="10">
        <f t="shared" si="3"/>
        <v>14</v>
      </c>
      <c r="I64" s="11">
        <f t="shared" si="4"/>
        <v>1.4242424242424243</v>
      </c>
      <c r="J64" s="6" t="s">
        <v>22</v>
      </c>
      <c r="K64" s="28">
        <f t="shared" si="2"/>
        <v>2.8125</v>
      </c>
      <c r="L64" s="31"/>
      <c r="M64" s="39"/>
    </row>
    <row r="65" spans="1:13" ht="12.75" customHeight="1" x14ac:dyDescent="0.2">
      <c r="A65" s="36"/>
      <c r="B65" s="23" t="s">
        <v>36</v>
      </c>
      <c r="C65" s="8" t="s">
        <v>16</v>
      </c>
      <c r="D65" s="8" t="s">
        <v>27</v>
      </c>
      <c r="E65" s="8" t="s">
        <v>19</v>
      </c>
      <c r="F65" s="8">
        <v>33</v>
      </c>
      <c r="G65" s="9">
        <v>43.2</v>
      </c>
      <c r="H65" s="10">
        <f t="shared" si="3"/>
        <v>10.200000000000003</v>
      </c>
      <c r="I65" s="11">
        <f t="shared" si="4"/>
        <v>1.3090909090909091</v>
      </c>
      <c r="J65" s="6" t="s">
        <v>22</v>
      </c>
      <c r="K65" s="28">
        <f t="shared" si="2"/>
        <v>2.8125</v>
      </c>
      <c r="L65" s="31"/>
      <c r="M65" s="39"/>
    </row>
    <row r="66" spans="1:13" ht="12.75" customHeight="1" x14ac:dyDescent="0.2">
      <c r="A66" s="36"/>
      <c r="B66" s="23" t="s">
        <v>36</v>
      </c>
      <c r="C66" s="8" t="s">
        <v>16</v>
      </c>
      <c r="D66" s="8" t="s">
        <v>27</v>
      </c>
      <c r="E66" s="8" t="s">
        <v>20</v>
      </c>
      <c r="F66" s="8">
        <v>56</v>
      </c>
      <c r="G66" s="9">
        <v>73</v>
      </c>
      <c r="H66" s="10">
        <f t="shared" si="3"/>
        <v>17</v>
      </c>
      <c r="I66" s="11">
        <f t="shared" si="4"/>
        <v>1.3035714285714286</v>
      </c>
      <c r="J66" s="6" t="s">
        <v>22</v>
      </c>
      <c r="K66" s="28">
        <f t="shared" si="2"/>
        <v>2.8125</v>
      </c>
      <c r="L66" s="31"/>
      <c r="M66" s="21"/>
    </row>
    <row r="67" spans="1:13" ht="13.5" customHeight="1" thickBot="1" x14ac:dyDescent="0.25">
      <c r="A67" s="37"/>
      <c r="B67" s="24" t="s">
        <v>36</v>
      </c>
      <c r="C67" s="12" t="s">
        <v>16</v>
      </c>
      <c r="D67" s="12" t="s">
        <v>27</v>
      </c>
      <c r="E67" s="12" t="s">
        <v>20</v>
      </c>
      <c r="F67" s="12">
        <v>56</v>
      </c>
      <c r="G67" s="13">
        <v>74</v>
      </c>
      <c r="H67" s="14">
        <f t="shared" si="3"/>
        <v>18</v>
      </c>
      <c r="I67" s="15">
        <f t="shared" si="4"/>
        <v>1.3214285714285714</v>
      </c>
      <c r="J67" s="25" t="s">
        <v>22</v>
      </c>
      <c r="K67" s="33">
        <f t="shared" si="2"/>
        <v>2.8125</v>
      </c>
      <c r="L67" s="34">
        <f>AVERAGE(I60:I67)</f>
        <v>1.2524479166666667</v>
      </c>
      <c r="M67" s="22">
        <f>AVERAGE(L67,L59,L51,L43,L35,L27)</f>
        <v>1.1288640873015874</v>
      </c>
    </row>
  </sheetData>
  <mergeCells count="9">
    <mergeCell ref="A52:A59"/>
    <mergeCell ref="M52:M65"/>
    <mergeCell ref="A60:A67"/>
    <mergeCell ref="A20:A27"/>
    <mergeCell ref="A28:A35"/>
    <mergeCell ref="M20:M33"/>
    <mergeCell ref="A36:A43"/>
    <mergeCell ref="M36:M49"/>
    <mergeCell ref="A44:A51"/>
  </mergeCells>
  <conditionalFormatting sqref="J20:J35">
    <cfRule type="cellIs" dxfId="56" priority="74" operator="equal">
      <formula>"Not fully cured and contaminated"</formula>
    </cfRule>
    <cfRule type="cellIs" dxfId="55" priority="75" operator="equal">
      <formula>"Not fully cured"</formula>
    </cfRule>
    <cfRule type="cellIs" dxfId="54" priority="76" operator="equal">
      <formula>"No"</formula>
    </cfRule>
    <cfRule type="cellIs" dxfId="53" priority="77" operator="equal">
      <formula>"Yes"</formula>
    </cfRule>
  </conditionalFormatting>
  <conditionalFormatting sqref="J19:J35">
    <cfRule type="cellIs" dxfId="52" priority="80" operator="equal">
      <formula>"Not fully cured and contaminated"</formula>
    </cfRule>
    <cfRule type="cellIs" dxfId="51" priority="81" operator="equal">
      <formula>"Not fully cured"</formula>
    </cfRule>
    <cfRule type="cellIs" dxfId="50" priority="82" operator="equal">
      <formula>"No"</formula>
    </cfRule>
    <cfRule type="cellIs" dxfId="49" priority="83" operator="equal">
      <formula>"Yes"</formula>
    </cfRule>
  </conditionalFormatting>
  <conditionalFormatting sqref="I20:I35">
    <cfRule type="cellIs" dxfId="48" priority="78" operator="greaterThan">
      <formula>1.1</formula>
    </cfRule>
    <cfRule type="cellIs" dxfId="47" priority="79" operator="between">
      <formula>0.94</formula>
      <formula>1.11</formula>
    </cfRule>
    <cfRule type="cellIs" dxfId="46" priority="84" operator="lessThan">
      <formula>0.95</formula>
    </cfRule>
  </conditionalFormatting>
  <conditionalFormatting sqref="J20:J35">
    <cfRule type="cellIs" dxfId="45" priority="55" operator="equal">
      <formula>"Not fully cured and contaminated"</formula>
    </cfRule>
    <cfRule type="cellIs" dxfId="44" priority="56" operator="equal">
      <formula>"Not fully cured"</formula>
    </cfRule>
    <cfRule type="cellIs" dxfId="43" priority="57" operator="equal">
      <formula>"No"</formula>
    </cfRule>
    <cfRule type="cellIs" dxfId="42" priority="58" operator="equal">
      <formula>"Yes"</formula>
    </cfRule>
  </conditionalFormatting>
  <conditionalFormatting sqref="J20:J35">
    <cfRule type="cellIs" dxfId="41" priority="59" operator="equal">
      <formula>"Not fully cured and contaminated"</formula>
    </cfRule>
    <cfRule type="cellIs" dxfId="40" priority="60" operator="equal">
      <formula>"Not fully cured"</formula>
    </cfRule>
    <cfRule type="cellIs" dxfId="39" priority="61" operator="equal">
      <formula>"No"</formula>
    </cfRule>
    <cfRule type="cellIs" dxfId="38" priority="62" operator="equal">
      <formula>"Yes"</formula>
    </cfRule>
  </conditionalFormatting>
  <conditionalFormatting sqref="J36:J51">
    <cfRule type="cellIs" dxfId="37" priority="28" operator="equal">
      <formula>"Not fully cured and contaminated"</formula>
    </cfRule>
    <cfRule type="cellIs" dxfId="36" priority="29" operator="equal">
      <formula>"Not fully cured"</formula>
    </cfRule>
    <cfRule type="cellIs" dxfId="35" priority="30" operator="equal">
      <formula>"No"</formula>
    </cfRule>
    <cfRule type="cellIs" dxfId="34" priority="31" operator="equal">
      <formula>"Yes"</formula>
    </cfRule>
  </conditionalFormatting>
  <conditionalFormatting sqref="J36:J51">
    <cfRule type="cellIs" dxfId="33" priority="34" operator="equal">
      <formula>"Not fully cured and contaminated"</formula>
    </cfRule>
    <cfRule type="cellIs" dxfId="32" priority="35" operator="equal">
      <formula>"Not fully cured"</formula>
    </cfRule>
    <cfRule type="cellIs" dxfId="31" priority="36" operator="equal">
      <formula>"No"</formula>
    </cfRule>
    <cfRule type="cellIs" dxfId="30" priority="37" operator="equal">
      <formula>"Yes"</formula>
    </cfRule>
  </conditionalFormatting>
  <conditionalFormatting sqref="I36:I51">
    <cfRule type="cellIs" dxfId="29" priority="32" operator="greaterThan">
      <formula>1.1</formula>
    </cfRule>
    <cfRule type="cellIs" dxfId="28" priority="33" operator="between">
      <formula>0.94</formula>
      <formula>1.11</formula>
    </cfRule>
    <cfRule type="cellIs" dxfId="27" priority="38" operator="lessThan">
      <formula>0.95</formula>
    </cfRule>
  </conditionalFormatting>
  <conditionalFormatting sqref="J36:J51">
    <cfRule type="cellIs" dxfId="26" priority="20" operator="equal">
      <formula>"Not fully cured and contaminated"</formula>
    </cfRule>
    <cfRule type="cellIs" dxfId="25" priority="21" operator="equal">
      <formula>"Not fully cured"</formula>
    </cfRule>
    <cfRule type="cellIs" dxfId="24" priority="22" operator="equal">
      <formula>"No"</formula>
    </cfRule>
    <cfRule type="cellIs" dxfId="23" priority="23" operator="equal">
      <formula>"Yes"</formula>
    </cfRule>
  </conditionalFormatting>
  <conditionalFormatting sqref="J36:J51">
    <cfRule type="cellIs" dxfId="22" priority="24" operator="equal">
      <formula>"Not fully cured and contaminated"</formula>
    </cfRule>
    <cfRule type="cellIs" dxfId="21" priority="25" operator="equal">
      <formula>"Not fully cured"</formula>
    </cfRule>
    <cfRule type="cellIs" dxfId="20" priority="26" operator="equal">
      <formula>"No"</formula>
    </cfRule>
    <cfRule type="cellIs" dxfId="19" priority="27" operator="equal">
      <formula>"Yes"</formula>
    </cfRule>
  </conditionalFormatting>
  <conditionalFormatting sqref="J52:J67">
    <cfRule type="cellIs" dxfId="18" priority="9" operator="equal">
      <formula>"Not fully cured and contaminated"</formula>
    </cfRule>
    <cfRule type="cellIs" dxfId="17" priority="10" operator="equal">
      <formula>"Not fully cured"</formula>
    </cfRule>
    <cfRule type="cellIs" dxfId="16" priority="11" operator="equal">
      <formula>"No"</formula>
    </cfRule>
    <cfRule type="cellIs" dxfId="15" priority="12" operator="equal">
      <formula>"Yes"</formula>
    </cfRule>
  </conditionalFormatting>
  <conditionalFormatting sqref="J52:J67">
    <cfRule type="cellIs" dxfId="14" priority="15" operator="equal">
      <formula>"Not fully cured and contaminated"</formula>
    </cfRule>
    <cfRule type="cellIs" dxfId="13" priority="16" operator="equal">
      <formula>"Not fully cured"</formula>
    </cfRule>
    <cfRule type="cellIs" dxfId="12" priority="17" operator="equal">
      <formula>"No"</formula>
    </cfRule>
    <cfRule type="cellIs" dxfId="11" priority="18" operator="equal">
      <formula>"Yes"</formula>
    </cfRule>
  </conditionalFormatting>
  <conditionalFormatting sqref="I52:I67">
    <cfRule type="cellIs" dxfId="10" priority="13" operator="greaterThan">
      <formula>1.1</formula>
    </cfRule>
    <cfRule type="cellIs" dxfId="9" priority="14" operator="between">
      <formula>0.94</formula>
      <formula>1.11</formula>
    </cfRule>
    <cfRule type="cellIs" dxfId="8" priority="19" operator="lessThan">
      <formula>0.95</formula>
    </cfRule>
  </conditionalFormatting>
  <conditionalFormatting sqref="J52:J67">
    <cfRule type="cellIs" dxfId="7" priority="1" operator="equal">
      <formula>"Not fully cured and contaminated"</formula>
    </cfRule>
    <cfRule type="cellIs" dxfId="6" priority="2" operator="equal">
      <formula>"Not fully cured"</formula>
    </cfRule>
    <cfRule type="cellIs" dxfId="5" priority="3" operator="equal">
      <formula>"No"</formula>
    </cfRule>
    <cfRule type="cellIs" dxfId="4" priority="4" operator="equal">
      <formula>"Yes"</formula>
    </cfRule>
  </conditionalFormatting>
  <conditionalFormatting sqref="J52:J67">
    <cfRule type="cellIs" dxfId="3" priority="5" operator="equal">
      <formula>"Not fully cured and contaminated"</formula>
    </cfRule>
    <cfRule type="cellIs" dxfId="2" priority="6" operator="equal">
      <formula>"Not fully cured"</formula>
    </cfRule>
    <cfRule type="cellIs" dxfId="1" priority="7" operator="equal">
      <formula>"No"</formula>
    </cfRule>
    <cfRule type="cellIs" dxfId="0" priority="8" operator="equal">
      <formula>"Yes"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Sheet2!$A$1:$A$3</xm:f>
          </x14:formula1>
          <xm:sqref>J20:J67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defaultRowHeight="12.75" x14ac:dyDescent="0.2"/>
  <sheetData>
    <row r="1" spans="1:1" x14ac:dyDescent="0.2">
      <c r="A1" t="s">
        <v>22</v>
      </c>
    </row>
    <row r="2" spans="1:1" x14ac:dyDescent="0.2">
      <c r="A2" t="s">
        <v>23</v>
      </c>
    </row>
    <row r="3" spans="1:1" x14ac:dyDescent="0.2">
      <c r="A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Boxel</dc:creator>
  <cp:lastModifiedBy>Eric van Boxel</cp:lastModifiedBy>
  <cp:lastPrinted>2021-02-26T14:35:21Z</cp:lastPrinted>
  <dcterms:created xsi:type="dcterms:W3CDTF">2020-11-12T12:33:17Z</dcterms:created>
  <dcterms:modified xsi:type="dcterms:W3CDTF">2021-03-05T13:35:17Z</dcterms:modified>
</cp:coreProperties>
</file>